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Practice\"/>
    </mc:Choice>
  </mc:AlternateContent>
  <xr:revisionPtr revIDLastSave="0" documentId="8_{6CB32BD8-BBC1-4407-A048-C9A45A5529C8}" xr6:coauthVersionLast="47" xr6:coauthVersionMax="47" xr10:uidLastSave="{00000000-0000-0000-0000-000000000000}"/>
  <bookViews>
    <workbookView xWindow="-108" yWindow="-108" windowWidth="23256" windowHeight="12456" xr2:uid="{00000000-000D-0000-FFFF-FFFF00000000}"/>
  </bookViews>
  <sheets>
    <sheet name="Daily Tracker" sheetId="1" r:id="rId1"/>
    <sheet name="Progres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2" l="1"/>
  <c r="D6" i="2" s="1"/>
  <c r="C5" i="2"/>
  <c r="D5" i="2" s="1"/>
  <c r="C4" i="2"/>
  <c r="D4" i="2" s="1"/>
  <c r="C3" i="2"/>
  <c r="D3" i="2" s="1"/>
</calcChain>
</file>

<file path=xl/sharedStrings.xml><?xml version="1.0" encoding="utf-8"?>
<sst xmlns="http://schemas.openxmlformats.org/spreadsheetml/2006/main" count="474" uniqueCount="317">
  <si>
    <t>JavaScript Backend Roadmap — Daily Tracker</t>
  </si>
  <si>
    <t>Day</t>
  </si>
  <si>
    <t>Date</t>
  </si>
  <si>
    <t>Topic #</t>
  </si>
  <si>
    <t>Phase</t>
  </si>
  <si>
    <t>Topic Name</t>
  </si>
  <si>
    <t>What to do today</t>
  </si>
  <si>
    <t>Status</t>
  </si>
  <si>
    <t>Notes</t>
  </si>
  <si>
    <t xml:space="preserve">  Phase 1 — Re-activation   |   Jun 22 → Jul 6   |   Milestone: Write a function from scratch without looking anything up</t>
  </si>
  <si>
    <t>Day 1</t>
  </si>
  <si>
    <t>Jun 22</t>
  </si>
  <si>
    <t>#1</t>
  </si>
  <si>
    <t>Re-activation</t>
  </si>
  <si>
    <t>JS intro &amp; setup</t>
  </si>
  <si>
    <t>Watch intro, install VS Code, run your first console.log</t>
  </si>
  <si>
    <t>Not Started</t>
  </si>
  <si>
    <t>Day 2</t>
  </si>
  <si>
    <t>Jun 23</t>
  </si>
  <si>
    <t>#2</t>
  </si>
  <si>
    <t>Variables</t>
  </si>
  <si>
    <t>var / let / const — code 10 examples from scratch</t>
  </si>
  <si>
    <t>Day 3</t>
  </si>
  <si>
    <t>Jun 24</t>
  </si>
  <si>
    <t>#3</t>
  </si>
  <si>
    <t>Arithmetic operators</t>
  </si>
  <si>
    <t>All operators + operator precedence practice</t>
  </si>
  <si>
    <t>Day 4</t>
  </si>
  <si>
    <t>Jun 25</t>
  </si>
  <si>
    <t>#5</t>
  </si>
  <si>
    <t>Type conversion</t>
  </si>
  <si>
    <t>parseInt, parseFloat, String(), Boolean() — test edge cases</t>
  </si>
  <si>
    <t>Day 5</t>
  </si>
  <si>
    <t>Jun 26</t>
  </si>
  <si>
    <t>#6</t>
  </si>
  <si>
    <t>Constants</t>
  </si>
  <si>
    <t>When to use const vs let — rewrite Day 2 examples correctly</t>
  </si>
  <si>
    <t>Day 6</t>
  </si>
  <si>
    <t>Jun 27</t>
  </si>
  <si>
    <t>#10</t>
  </si>
  <si>
    <t>If statements</t>
  </si>
  <si>
    <t>Write 5 real-world if/else scenarios from scratch</t>
  </si>
  <si>
    <t>Day 7</t>
  </si>
  <si>
    <t>Jun 28</t>
  </si>
  <si>
    <t>—</t>
  </si>
  <si>
    <t>Review + practice day</t>
  </si>
  <si>
    <t>Rebuild everything from Days 1-6 in a blank file, no looking back</t>
  </si>
  <si>
    <t>Day 8</t>
  </si>
  <si>
    <t>Jun 29</t>
  </si>
  <si>
    <t>#17</t>
  </si>
  <si>
    <t>Logical operators</t>
  </si>
  <si>
    <t>&amp;&amp; || ! — combine with if statements</t>
  </si>
  <si>
    <t>Day 9</t>
  </si>
  <si>
    <t>Jun 30</t>
  </si>
  <si>
    <t>#18</t>
  </si>
  <si>
    <t>Strict equality</t>
  </si>
  <si>
    <t>Day 10</t>
  </si>
  <si>
    <t>Jul 1</t>
  </si>
  <si>
    <t>#19</t>
  </si>
  <si>
    <t>While loops</t>
  </si>
  <si>
    <t>Build a countdown and a number accumulator</t>
  </si>
  <si>
    <t>Day 11</t>
  </si>
  <si>
    <t>Jul 2</t>
  </si>
  <si>
    <t>#20</t>
  </si>
  <si>
    <t>For loops</t>
  </si>
  <si>
    <t>Loop through arrays, build a multiplication table</t>
  </si>
  <si>
    <t>Day 12</t>
  </si>
  <si>
    <t>Jul 3</t>
  </si>
  <si>
    <t>#22</t>
  </si>
  <si>
    <t>Functions</t>
  </si>
  <si>
    <t>Write 6 functions — parameters, return values, default params</t>
  </si>
  <si>
    <t>Day 13</t>
  </si>
  <si>
    <t>Jul 4</t>
  </si>
  <si>
    <t>#23</t>
  </si>
  <si>
    <t>Variable scope</t>
  </si>
  <si>
    <t>Local vs global — intentionally break scope to understand it</t>
  </si>
  <si>
    <t>Day 14</t>
  </si>
  <si>
    <t>Jul 5</t>
  </si>
  <si>
    <t>Phase 1 milestone</t>
  </si>
  <si>
    <t>Write a tip calculator: input bill + %, output tip and total — no help</t>
  </si>
  <si>
    <t>Day 15</t>
  </si>
  <si>
    <t>Jul 6</t>
  </si>
  <si>
    <t>Buffer / catch-up day</t>
  </si>
  <si>
    <t>Redo anything that didn't feel solid. Rest if ahead.</t>
  </si>
  <si>
    <t xml:space="preserve">  Phase 2 — Core Backend JS   |   Jul 7 → Aug 3   |   Milestone: Build a CLI contact book — store, filter, and sort entries</t>
  </si>
  <si>
    <t>Day 16</t>
  </si>
  <si>
    <t>Jul 7</t>
  </si>
  <si>
    <t>#25</t>
  </si>
  <si>
    <t>Core Backend</t>
  </si>
  <si>
    <t>Arrays</t>
  </si>
  <si>
    <t>Create, read, update arrays — push, pop, shift, unshift, splice</t>
  </si>
  <si>
    <t>Day 17</t>
  </si>
  <si>
    <t>Jul 8</t>
  </si>
  <si>
    <t>Arrays continued</t>
  </si>
  <si>
    <t>indexOf, includes, find, findIndex — build a search function</t>
  </si>
  <si>
    <t>Day 18</t>
  </si>
  <si>
    <t>Jul 9</t>
  </si>
  <si>
    <t>#26</t>
  </si>
  <si>
    <t>Spread operator</t>
  </si>
  <si>
    <t>Merge arrays, copy arrays, spread into functions</t>
  </si>
  <si>
    <t>Day 19</t>
  </si>
  <si>
    <t>Jul 10</t>
  </si>
  <si>
    <t>#27</t>
  </si>
  <si>
    <t>Rest parameters</t>
  </si>
  <si>
    <t>Write functions that accept unlimited arguments</t>
  </si>
  <si>
    <t>Day 20</t>
  </si>
  <si>
    <t>Jul 11</t>
  </si>
  <si>
    <t>Review + mini project</t>
  </si>
  <si>
    <t>Build an array-based to-do list: add, remove, list items</t>
  </si>
  <si>
    <t>Day 21</t>
  </si>
  <si>
    <t>Jul 12</t>
  </si>
  <si>
    <t>#30</t>
  </si>
  <si>
    <t>Callbacks</t>
  </si>
  <si>
    <t>Write 5 functions that accept another function as argument</t>
  </si>
  <si>
    <t>Day 22</t>
  </si>
  <si>
    <t>Jul 13</t>
  </si>
  <si>
    <t>#31</t>
  </si>
  <si>
    <t>forEach()</t>
  </si>
  <si>
    <t>Replace all your for loops with forEach — feel the difference</t>
  </si>
  <si>
    <t>Day 23</t>
  </si>
  <si>
    <t>Jul 14</t>
  </si>
  <si>
    <t>#32</t>
  </si>
  <si>
    <t>map()</t>
  </si>
  <si>
    <t>Transform arrays — double numbers, extract names from objects</t>
  </si>
  <si>
    <t>Day 24</t>
  </si>
  <si>
    <t>Jul 15</t>
  </si>
  <si>
    <t>#33</t>
  </si>
  <si>
    <t>filter()</t>
  </si>
  <si>
    <t>Filter arrays by condition — combine with map</t>
  </si>
  <si>
    <t>Day 25</t>
  </si>
  <si>
    <t>Jul 16</t>
  </si>
  <si>
    <t>#34</t>
  </si>
  <si>
    <t>reduce()</t>
  </si>
  <si>
    <t>Sum, count, group — this one needs extra practice</t>
  </si>
  <si>
    <t>Day 26</t>
  </si>
  <si>
    <t>Jul 17</t>
  </si>
  <si>
    <t>Array methods review</t>
  </si>
  <si>
    <t>Chain map + filter + reduce on one dataset. Rebuild without notes</t>
  </si>
  <si>
    <t>Day 27</t>
  </si>
  <si>
    <t>Jul 18</t>
  </si>
  <si>
    <t>#35</t>
  </si>
  <si>
    <t>Function expressions</t>
  </si>
  <si>
    <t>const fn = function(){} vs function fn(){} — know the difference</t>
  </si>
  <si>
    <t>Day 28</t>
  </si>
  <si>
    <t>Jul 19</t>
  </si>
  <si>
    <t>#36</t>
  </si>
  <si>
    <t>Arrow functions</t>
  </si>
  <si>
    <t>Rewrite all your previous functions as arrow functions</t>
  </si>
  <si>
    <t>Day 29</t>
  </si>
  <si>
    <t>Jul 20</t>
  </si>
  <si>
    <t>Redo anything shaky. Practice chaining array methods.</t>
  </si>
  <si>
    <t>Day 30</t>
  </si>
  <si>
    <t>Jul 21</t>
  </si>
  <si>
    <t>#37</t>
  </si>
  <si>
    <t>JS Objects</t>
  </si>
  <si>
    <t>Create objects, access properties, dot vs bracket notation</t>
  </si>
  <si>
    <t>Day 31</t>
  </si>
  <si>
    <t>Jul 22</t>
  </si>
  <si>
    <t>Objects continued</t>
  </si>
  <si>
    <t>Nested objects, loop through keys, Object.keys/values/entries</t>
  </si>
  <si>
    <t>Day 32</t>
  </si>
  <si>
    <t>Jul 23</t>
  </si>
  <si>
    <t>#39</t>
  </si>
  <si>
    <t>Constructors</t>
  </si>
  <si>
    <t>Build a Person constructor. Create 5 instances manually</t>
  </si>
  <si>
    <t>Day 33</t>
  </si>
  <si>
    <t>Jul 24</t>
  </si>
  <si>
    <t>#40</t>
  </si>
  <si>
    <t>Classes</t>
  </si>
  <si>
    <t>Convert your constructor to a class. Add methods</t>
  </si>
  <si>
    <t>Day 34</t>
  </si>
  <si>
    <t>Jul 25</t>
  </si>
  <si>
    <t>#41</t>
  </si>
  <si>
    <t>Static keyword</t>
  </si>
  <si>
    <t>Add static methods to your class — understand when to use them</t>
  </si>
  <si>
    <t>Day 35</t>
  </si>
  <si>
    <t>Jul 26</t>
  </si>
  <si>
    <t>#42</t>
  </si>
  <si>
    <t>Inheritance</t>
  </si>
  <si>
    <t>Extend your Person class — Employee, Manager — add new properties</t>
  </si>
  <si>
    <t>Day 36</t>
  </si>
  <si>
    <t>Jul 27</t>
  </si>
  <si>
    <t>#43</t>
  </si>
  <si>
    <t>Super keyword</t>
  </si>
  <si>
    <t>Call parent methods from child class — extend constructors</t>
  </si>
  <si>
    <t>Day 37</t>
  </si>
  <si>
    <t>Jul 28</t>
  </si>
  <si>
    <t>OOP review day</t>
  </si>
  <si>
    <t>Build a small zoo: Animal, Dog, Cat. Use all OOP concepts</t>
  </si>
  <si>
    <t>Day 38</t>
  </si>
  <si>
    <t>Jul 29</t>
  </si>
  <si>
    <t>#51</t>
  </si>
  <si>
    <t>Closures</t>
  </si>
  <si>
    <t>This is tricky — watch twice, then build a counter using closure</t>
  </si>
  <si>
    <t>Day 39</t>
  </si>
  <si>
    <t>Jul 30</t>
  </si>
  <si>
    <t>Closures are hard. Extra day to practice if needed</t>
  </si>
  <si>
    <t>Day 40</t>
  </si>
  <si>
    <t>Jul 31</t>
  </si>
  <si>
    <t>Phase 2 project start</t>
  </si>
  <si>
    <t>Start contact book: array of objects, add/remove/search contacts</t>
  </si>
  <si>
    <t>Day 41</t>
  </si>
  <si>
    <t>Aug 1</t>
  </si>
  <si>
    <t>Phase 2 project build</t>
  </si>
  <si>
    <t>Add sort by name, filter by city, display formatted output</t>
  </si>
  <si>
    <t>Day 42</t>
  </si>
  <si>
    <t>Aug 2</t>
  </si>
  <si>
    <t>Phase 2 project polish</t>
  </si>
  <si>
    <t>Add error handling, edge cases — what if contact doesn't exist?</t>
  </si>
  <si>
    <t>Day 43</t>
  </si>
  <si>
    <t>Aug 3</t>
  </si>
  <si>
    <t>Phase 2 milestone</t>
  </si>
  <si>
    <t>Demo your contact book. Can you explain every line you wrote?</t>
  </si>
  <si>
    <t xml:space="preserve">  Phase 3 — Async Mastery   |   Aug 4 → Aug 24   |   Milestone: Fetch a real public API, handle errors, log clean structured output</t>
  </si>
  <si>
    <t>Day 44</t>
  </si>
  <si>
    <t>Aug 4</t>
  </si>
  <si>
    <t>#56</t>
  </si>
  <si>
    <t>Async</t>
  </si>
  <si>
    <t>Async code intro</t>
  </si>
  <si>
    <t>Understand the call stack, event loop, synchronous vs async</t>
  </si>
  <si>
    <t>Day 45</t>
  </si>
  <si>
    <t>Aug 5</t>
  </si>
  <si>
    <t>Async code practice</t>
  </si>
  <si>
    <t>setTimeout experiments — predict output before running</t>
  </si>
  <si>
    <t>Day 46</t>
  </si>
  <si>
    <t>Aug 6</t>
  </si>
  <si>
    <t>#71</t>
  </si>
  <si>
    <t>Promises</t>
  </si>
  <si>
    <t>Create a promise manually. .then() .catch() .finally()</t>
  </si>
  <si>
    <t>Day 47</t>
  </si>
  <si>
    <t>Aug 7</t>
  </si>
  <si>
    <t>Promises continued</t>
  </si>
  <si>
    <t>Promise.all and Promise.race — run parallel async operations</t>
  </si>
  <si>
    <t>Day 48</t>
  </si>
  <si>
    <t>Aug 8</t>
  </si>
  <si>
    <t>Review + practice</t>
  </si>
  <si>
    <t>Convert callback-based code to promises. Feel the improvement</t>
  </si>
  <si>
    <t>Day 49</t>
  </si>
  <si>
    <t>Aug 9</t>
  </si>
  <si>
    <t>#72</t>
  </si>
  <si>
    <t>Async/Await</t>
  </si>
  <si>
    <t>Rewrite your promises as async/await — much cleaner syntax</t>
  </si>
  <si>
    <t>Day 50</t>
  </si>
  <si>
    <t>Aug 10</t>
  </si>
  <si>
    <t>Async/Await continued</t>
  </si>
  <si>
    <t>Error handling with try/catch inside async functions</t>
  </si>
  <si>
    <t>Day 51</t>
  </si>
  <si>
    <t>Aug 11</t>
  </si>
  <si>
    <t>#57</t>
  </si>
  <si>
    <t>Error handling</t>
  </si>
  <si>
    <t>throw, try, catch, finally — build a function that fails gracefully</t>
  </si>
  <si>
    <t>Day 52</t>
  </si>
  <si>
    <t>Aug 12</t>
  </si>
  <si>
    <t>Async review day</t>
  </si>
  <si>
    <t>Rebuild promise to async/await chain without notes</t>
  </si>
  <si>
    <t>Day 53</t>
  </si>
  <si>
    <t>Aug 13</t>
  </si>
  <si>
    <t>#73</t>
  </si>
  <si>
    <t>JSON files</t>
  </si>
  <si>
    <t>Read/write JSON. JSON.parse and JSON.stringify — understand both</t>
  </si>
  <si>
    <t>Day 54</t>
  </si>
  <si>
    <t>Aug 14</t>
  </si>
  <si>
    <t>JSON continued</t>
  </si>
  <si>
    <t>Nested JSON, loop through it, transform the structure</t>
  </si>
  <si>
    <t>Day 55</t>
  </si>
  <si>
    <t>Aug 15</t>
  </si>
  <si>
    <t>#74</t>
  </si>
  <si>
    <t>Fetch API intro</t>
  </si>
  <si>
    <t>Fetch from a public API (JSONPlaceholder). Log the response</t>
  </si>
  <si>
    <t>Day 56</t>
  </si>
  <si>
    <t>Aug 16</t>
  </si>
  <si>
    <t>Fetch continued</t>
  </si>
  <si>
    <t>Handle loading state, errors, empty responses</t>
  </si>
  <si>
    <t>Day 57</t>
  </si>
  <si>
    <t>Aug 17</t>
  </si>
  <si>
    <t>Fetch with async/await</t>
  </si>
  <si>
    <t>Rewrite fetch using async/await + try/catch. Best practice form</t>
  </si>
  <si>
    <t>Day 58</t>
  </si>
  <si>
    <t>Aug 18</t>
  </si>
  <si>
    <t>Async is the hardest section. Use this if you need it</t>
  </si>
  <si>
    <t>Day 59</t>
  </si>
  <si>
    <t>Aug 19</t>
  </si>
  <si>
    <t>Phase 3 project start</t>
  </si>
  <si>
    <t>Pick a real API: OpenWeather or RestCountries. Plan your output</t>
  </si>
  <si>
    <t>Day 60</t>
  </si>
  <si>
    <t>Aug 20</t>
  </si>
  <si>
    <t>Phase 3 project build</t>
  </si>
  <si>
    <t>Fetch data, parse JSON, display formatted results in terminal</t>
  </si>
  <si>
    <t>Day 61</t>
  </si>
  <si>
    <t>Aug 21</t>
  </si>
  <si>
    <t>Phase 3 project errors</t>
  </si>
  <si>
    <t>Simulate failures — bad URL, no internet. Handle all gracefully</t>
  </si>
  <si>
    <t>Day 62</t>
  </si>
  <si>
    <t>Aug 22</t>
  </si>
  <si>
    <t>Phase 3 project polish</t>
  </si>
  <si>
    <t>Clean up code, add comments, make output readable</t>
  </si>
  <si>
    <t>Day 63</t>
  </si>
  <si>
    <t>Aug 23</t>
  </si>
  <si>
    <t>Extra day if project needs more work</t>
  </si>
  <si>
    <t>Day 64</t>
  </si>
  <si>
    <t>Aug 24</t>
  </si>
  <si>
    <t>Phase 3 milestone</t>
  </si>
  <si>
    <t>Can you fetch, parse, handle errors, and display — all from memory?</t>
  </si>
  <si>
    <t>Progress Overview</t>
  </si>
  <si>
    <t>Total Days</t>
  </si>
  <si>
    <t>Done</t>
  </si>
  <si>
    <t>Completion</t>
  </si>
  <si>
    <t>Phase 1 — Re-activation</t>
  </si>
  <si>
    <t>Phase 2 — Core Backend JS</t>
  </si>
  <si>
    <t>Phase 3 — Async Mastery</t>
  </si>
  <si>
    <t>TOTAL</t>
  </si>
  <si>
    <t>Rules</t>
  </si>
  <si>
    <t xml:space="preserve">  1.  After every topic — close the video and rebuild it from scratch in a blank file.</t>
  </si>
  <si>
    <t xml:space="preserve">  2.  Only mark Done when you can write it from memory, not just when you watched it.</t>
  </si>
  <si>
    <t xml:space="preserve">  3.  Buffer days are real days — use them if needed, rest if you are ahead.</t>
  </si>
  <si>
    <t xml:space="preserve">  4.  Milestone days = no new content. Only build the project.</t>
  </si>
  <si>
    <t xml:space="preserve">  5.  Do not move to Phase 2 until the Phase 1 milestone feels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</si>
</sst>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26215C"/>
      <name val="Arial"/>
    </font>
    <font>
      <b/>
      <sz val="10"/>
      <color rgb="FFFFFFFF"/>
      <name val="Arial"/>
    </font>
    <font>
      <b/>
      <sz val="10"/>
      <color rgb="FF2C2C2A"/>
      <name val="Arial"/>
    </font>
    <font>
      <sz val="10"/>
      <color rgb="FF2C2C2A"/>
      <name val="Arial"/>
    </font>
    <font>
      <sz val="9"/>
      <color rgb="FF2C2C2A"/>
      <name val="Arial"/>
    </font>
    <font>
      <sz val="10"/>
      <name val="Arial"/>
    </font>
    <font>
      <b/>
      <sz val="10"/>
      <name val="Arial"/>
    </font>
    <font>
      <b/>
      <sz val="11"/>
      <color rgb="FF3C3289"/>
      <name val="Arial"/>
    </font>
  </fonts>
  <fills count="10">
    <fill>
      <patternFill patternType="none"/>
    </fill>
    <fill>
      <patternFill patternType="gray125"/>
    </fill>
    <fill>
      <patternFill patternType="solid">
        <fgColor rgb="FFEEEDFE"/>
        <bgColor rgb="FFEEEDFE"/>
      </patternFill>
    </fill>
    <fill>
      <patternFill patternType="solid">
        <fgColor rgb="FF3C3289"/>
        <bgColor rgb="FF3C3289"/>
      </patternFill>
    </fill>
    <fill>
      <patternFill patternType="solid">
        <fgColor rgb="FF7C5CBF"/>
        <bgColor rgb="FF7C5CBF"/>
      </patternFill>
    </fill>
    <fill>
      <patternFill patternType="solid">
        <fgColor rgb="FFF8F6FF"/>
        <bgColor rgb="FFF8F6FF"/>
      </patternFill>
    </fill>
    <fill>
      <patternFill patternType="solid">
        <fgColor rgb="FFFFFBF0"/>
        <bgColor rgb="FFFFFBF0"/>
      </patternFill>
    </fill>
    <fill>
      <patternFill patternType="solid">
        <fgColor rgb="FFFFFFFF"/>
        <bgColor rgb="FFFFFFFF"/>
      </patternFill>
    </fill>
    <fill>
      <patternFill patternType="solid">
        <fgColor rgb="FF1D7A52"/>
        <bgColor rgb="FF1D7A52"/>
      </patternFill>
    </fill>
    <fill>
      <patternFill patternType="solid">
        <fgColor rgb="FFB07A1A"/>
        <bgColor rgb="FFB07A1A"/>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4">
    <xf numFmtId="0" fontId="0" fillId="0" borderId="0" xfId="0"/>
    <xf numFmtId="0" fontId="2"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indent="1"/>
    </xf>
    <xf numFmtId="0" fontId="4" fillId="5"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indent="1"/>
    </xf>
    <xf numFmtId="0" fontId="4" fillId="6" borderId="1" xfId="0" applyFont="1" applyFill="1" applyBorder="1" applyAlignment="1">
      <alignment horizontal="left" vertical="center" wrapText="1" indent="1"/>
    </xf>
    <xf numFmtId="0" fontId="5" fillId="6" borderId="1" xfId="0" applyFont="1" applyFill="1" applyBorder="1" applyAlignment="1">
      <alignment horizontal="left" vertical="center" wrapText="1" indent="1"/>
    </xf>
    <xf numFmtId="0" fontId="0" fillId="7" borderId="0" xfId="0" applyFill="1"/>
    <xf numFmtId="0" fontId="4" fillId="0" borderId="1" xfId="0" applyFont="1" applyBorder="1"/>
    <xf numFmtId="0" fontId="6" fillId="0" borderId="1" xfId="0" applyFont="1" applyBorder="1" applyAlignment="1">
      <alignment horizontal="center"/>
    </xf>
    <xf numFmtId="0" fontId="7" fillId="2" borderId="1" xfId="0" applyFont="1" applyFill="1" applyBorder="1"/>
    <xf numFmtId="0" fontId="7" fillId="2" borderId="1" xfId="0" applyFont="1" applyFill="1" applyBorder="1" applyAlignment="1">
      <alignment horizontal="center"/>
    </xf>
    <xf numFmtId="0" fontId="8" fillId="0" borderId="0" xfId="0" applyFont="1"/>
    <xf numFmtId="0" fontId="2" fillId="9" borderId="0" xfId="0" applyFont="1" applyFill="1" applyAlignment="1">
      <alignment vertical="center" indent="1"/>
    </xf>
    <xf numFmtId="0" fontId="0" fillId="0" borderId="0" xfId="0"/>
    <xf numFmtId="0" fontId="2" fillId="8" borderId="0" xfId="0" applyFont="1" applyFill="1" applyAlignment="1">
      <alignment vertical="center" indent="1"/>
    </xf>
    <xf numFmtId="0" fontId="2" fillId="4" borderId="0" xfId="0" applyFont="1" applyFill="1" applyAlignment="1">
      <alignment vertical="center" indent="1"/>
    </xf>
    <xf numFmtId="0" fontId="1" fillId="2" borderId="0" xfId="0" applyFont="1" applyFill="1" applyAlignment="1">
      <alignment horizontal="left" vertical="center" indent="2"/>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showGridLines="0" tabSelected="1" workbookViewId="0">
      <pane ySplit="2" topLeftCell="A3" activePane="bottomLeft" state="frozen"/>
      <selection pane="bottomLeft" activeCell="J10" sqref="J10"/>
    </sheetView>
  </sheetViews>
  <sheetFormatPr defaultRowHeight="14.4" x14ac:dyDescent="0.3"/>
  <cols>
    <col min="1" max="2" width="9" customWidth="1"/>
    <col min="3" max="3" width="8" customWidth="1"/>
    <col min="4" max="4" width="14" customWidth="1"/>
    <col min="5" max="5" width="28" customWidth="1"/>
    <col min="6" max="6" width="48" customWidth="1"/>
    <col min="7" max="7" width="14" customWidth="1"/>
    <col min="8" max="8" width="18" customWidth="1"/>
  </cols>
  <sheetData>
    <row r="1" spans="1:8" ht="37.950000000000003" customHeight="1" x14ac:dyDescent="0.3">
      <c r="A1" s="22" t="s">
        <v>0</v>
      </c>
      <c r="B1" s="19"/>
      <c r="C1" s="19"/>
      <c r="D1" s="19"/>
      <c r="E1" s="19"/>
      <c r="F1" s="19"/>
      <c r="G1" s="19"/>
      <c r="H1" s="19"/>
    </row>
    <row r="2" spans="1:8" ht="22.05" customHeight="1" x14ac:dyDescent="0.3">
      <c r="A2" s="1" t="s">
        <v>1</v>
      </c>
      <c r="B2" s="1" t="s">
        <v>2</v>
      </c>
      <c r="C2" s="1" t="s">
        <v>3</v>
      </c>
      <c r="D2" s="1" t="s">
        <v>4</v>
      </c>
      <c r="E2" s="1" t="s">
        <v>5</v>
      </c>
      <c r="F2" s="1" t="s">
        <v>6</v>
      </c>
      <c r="G2" s="1" t="s">
        <v>7</v>
      </c>
      <c r="H2" s="1" t="s">
        <v>8</v>
      </c>
    </row>
    <row r="3" spans="1:8" ht="28.05" customHeight="1" x14ac:dyDescent="0.3">
      <c r="A3" s="21" t="s">
        <v>9</v>
      </c>
      <c r="B3" s="19"/>
      <c r="C3" s="19"/>
      <c r="D3" s="19"/>
      <c r="E3" s="19"/>
      <c r="F3" s="19"/>
      <c r="G3" s="19"/>
      <c r="H3" s="19"/>
    </row>
    <row r="4" spans="1:8" ht="34.049999999999997" customHeight="1" x14ac:dyDescent="0.3">
      <c r="A4" s="2" t="s">
        <v>10</v>
      </c>
      <c r="B4" s="3" t="s">
        <v>11</v>
      </c>
      <c r="C4" s="3" t="s">
        <v>12</v>
      </c>
      <c r="D4" s="4" t="s">
        <v>13</v>
      </c>
      <c r="E4" s="5" t="s">
        <v>14</v>
      </c>
      <c r="F4" s="6" t="s">
        <v>15</v>
      </c>
      <c r="G4" s="3" t="s">
        <v>16</v>
      </c>
      <c r="H4" s="5"/>
    </row>
    <row r="5" spans="1:8" ht="34.049999999999997" customHeight="1" x14ac:dyDescent="0.3">
      <c r="A5" s="2" t="s">
        <v>17</v>
      </c>
      <c r="B5" s="3" t="s">
        <v>18</v>
      </c>
      <c r="C5" s="3" t="s">
        <v>19</v>
      </c>
      <c r="D5" s="4" t="s">
        <v>13</v>
      </c>
      <c r="E5" s="5" t="s">
        <v>20</v>
      </c>
      <c r="F5" s="6" t="s">
        <v>21</v>
      </c>
      <c r="G5" s="3" t="s">
        <v>16</v>
      </c>
      <c r="H5" s="5"/>
    </row>
    <row r="6" spans="1:8" ht="34.049999999999997" customHeight="1" x14ac:dyDescent="0.3">
      <c r="A6" s="2" t="s">
        <v>22</v>
      </c>
      <c r="B6" s="3" t="s">
        <v>23</v>
      </c>
      <c r="C6" s="3" t="s">
        <v>24</v>
      </c>
      <c r="D6" s="4" t="s">
        <v>13</v>
      </c>
      <c r="E6" s="5" t="s">
        <v>25</v>
      </c>
      <c r="F6" s="6" t="s">
        <v>26</v>
      </c>
      <c r="G6" s="3" t="s">
        <v>16</v>
      </c>
      <c r="H6" s="5"/>
    </row>
    <row r="7" spans="1:8" ht="34.049999999999997" customHeight="1" x14ac:dyDescent="0.3">
      <c r="A7" s="2" t="s">
        <v>27</v>
      </c>
      <c r="B7" s="3" t="s">
        <v>28</v>
      </c>
      <c r="C7" s="3" t="s">
        <v>29</v>
      </c>
      <c r="D7" s="4" t="s">
        <v>13</v>
      </c>
      <c r="E7" s="5" t="s">
        <v>30</v>
      </c>
      <c r="F7" s="6" t="s">
        <v>31</v>
      </c>
      <c r="G7" s="3" t="s">
        <v>16</v>
      </c>
      <c r="H7" s="5"/>
    </row>
    <row r="8" spans="1:8" ht="34.049999999999997" customHeight="1" x14ac:dyDescent="0.3">
      <c r="A8" s="2" t="s">
        <v>32</v>
      </c>
      <c r="B8" s="3" t="s">
        <v>33</v>
      </c>
      <c r="C8" s="3" t="s">
        <v>34</v>
      </c>
      <c r="D8" s="4" t="s">
        <v>13</v>
      </c>
      <c r="E8" s="5" t="s">
        <v>35</v>
      </c>
      <c r="F8" s="6" t="s">
        <v>36</v>
      </c>
      <c r="G8" s="3" t="s">
        <v>16</v>
      </c>
      <c r="H8" s="5"/>
    </row>
    <row r="9" spans="1:8" ht="34.049999999999997" customHeight="1" x14ac:dyDescent="0.3">
      <c r="A9" s="2" t="s">
        <v>37</v>
      </c>
      <c r="B9" s="3" t="s">
        <v>38</v>
      </c>
      <c r="C9" s="3" t="s">
        <v>39</v>
      </c>
      <c r="D9" s="4" t="s">
        <v>13</v>
      </c>
      <c r="E9" s="5" t="s">
        <v>40</v>
      </c>
      <c r="F9" s="6" t="s">
        <v>41</v>
      </c>
      <c r="G9" s="3" t="s">
        <v>16</v>
      </c>
      <c r="H9" s="5"/>
    </row>
    <row r="10" spans="1:8" ht="34.049999999999997" customHeight="1" x14ac:dyDescent="0.3">
      <c r="A10" s="7" t="s">
        <v>42</v>
      </c>
      <c r="B10" s="8" t="s">
        <v>43</v>
      </c>
      <c r="C10" s="8" t="s">
        <v>44</v>
      </c>
      <c r="D10" s="9" t="s">
        <v>13</v>
      </c>
      <c r="E10" s="10" t="s">
        <v>45</v>
      </c>
      <c r="F10" s="11" t="s">
        <v>46</v>
      </c>
      <c r="G10" s="8" t="s">
        <v>16</v>
      </c>
      <c r="H10" s="10"/>
    </row>
    <row r="11" spans="1:8" ht="34.049999999999997" customHeight="1" x14ac:dyDescent="0.3">
      <c r="A11" s="2" t="s">
        <v>47</v>
      </c>
      <c r="B11" s="3" t="s">
        <v>48</v>
      </c>
      <c r="C11" s="3" t="s">
        <v>49</v>
      </c>
      <c r="D11" s="4" t="s">
        <v>13</v>
      </c>
      <c r="E11" s="5" t="s">
        <v>50</v>
      </c>
      <c r="F11" s="6" t="s">
        <v>51</v>
      </c>
      <c r="G11" s="3" t="s">
        <v>16</v>
      </c>
      <c r="H11" s="5"/>
    </row>
    <row r="12" spans="1:8" ht="34.049999999999997" customHeight="1" x14ac:dyDescent="0.3">
      <c r="A12" s="2" t="s">
        <v>52</v>
      </c>
      <c r="B12" s="3" t="s">
        <v>53</v>
      </c>
      <c r="C12" s="3" t="s">
        <v>54</v>
      </c>
      <c r="D12" s="4" t="s">
        <v>13</v>
      </c>
      <c r="E12" s="5" t="s">
        <v>55</v>
      </c>
      <c r="F12" s="6"/>
      <c r="G12" s="3" t="s">
        <v>16</v>
      </c>
      <c r="H12" s="5"/>
    </row>
    <row r="13" spans="1:8" ht="34.049999999999997" customHeight="1" x14ac:dyDescent="0.3">
      <c r="A13" s="2" t="s">
        <v>56</v>
      </c>
      <c r="B13" s="3" t="s">
        <v>57</v>
      </c>
      <c r="C13" s="3" t="s">
        <v>58</v>
      </c>
      <c r="D13" s="4" t="s">
        <v>13</v>
      </c>
      <c r="E13" s="5" t="s">
        <v>59</v>
      </c>
      <c r="F13" s="6" t="s">
        <v>60</v>
      </c>
      <c r="G13" s="3" t="s">
        <v>16</v>
      </c>
      <c r="H13" s="5"/>
    </row>
    <row r="14" spans="1:8" ht="34.049999999999997" customHeight="1" x14ac:dyDescent="0.3">
      <c r="A14" s="2" t="s">
        <v>61</v>
      </c>
      <c r="B14" s="3" t="s">
        <v>62</v>
      </c>
      <c r="C14" s="3" t="s">
        <v>63</v>
      </c>
      <c r="D14" s="4" t="s">
        <v>13</v>
      </c>
      <c r="E14" s="5" t="s">
        <v>64</v>
      </c>
      <c r="F14" s="6" t="s">
        <v>65</v>
      </c>
      <c r="G14" s="3" t="s">
        <v>16</v>
      </c>
      <c r="H14" s="5"/>
    </row>
    <row r="15" spans="1:8" ht="34.049999999999997" customHeight="1" x14ac:dyDescent="0.3">
      <c r="A15" s="2" t="s">
        <v>66</v>
      </c>
      <c r="B15" s="3" t="s">
        <v>67</v>
      </c>
      <c r="C15" s="3" t="s">
        <v>68</v>
      </c>
      <c r="D15" s="4" t="s">
        <v>13</v>
      </c>
      <c r="E15" s="5" t="s">
        <v>69</v>
      </c>
      <c r="F15" s="6" t="s">
        <v>70</v>
      </c>
      <c r="G15" s="3" t="s">
        <v>16</v>
      </c>
      <c r="H15" s="5"/>
    </row>
    <row r="16" spans="1:8" ht="34.049999999999997" customHeight="1" x14ac:dyDescent="0.3">
      <c r="A16" s="2" t="s">
        <v>71</v>
      </c>
      <c r="B16" s="3" t="s">
        <v>72</v>
      </c>
      <c r="C16" s="3" t="s">
        <v>73</v>
      </c>
      <c r="D16" s="4" t="s">
        <v>13</v>
      </c>
      <c r="E16" s="5" t="s">
        <v>74</v>
      </c>
      <c r="F16" s="6" t="s">
        <v>75</v>
      </c>
      <c r="G16" s="3" t="s">
        <v>16</v>
      </c>
      <c r="H16" s="5"/>
    </row>
    <row r="17" spans="1:8" ht="34.049999999999997" customHeight="1" x14ac:dyDescent="0.3">
      <c r="A17" s="7" t="s">
        <v>76</v>
      </c>
      <c r="B17" s="8" t="s">
        <v>77</v>
      </c>
      <c r="C17" s="8" t="s">
        <v>44</v>
      </c>
      <c r="D17" s="9" t="s">
        <v>13</v>
      </c>
      <c r="E17" s="10" t="s">
        <v>78</v>
      </c>
      <c r="F17" s="11" t="s">
        <v>79</v>
      </c>
      <c r="G17" s="8" t="s">
        <v>16</v>
      </c>
      <c r="H17" s="10"/>
    </row>
    <row r="18" spans="1:8" ht="34.049999999999997" customHeight="1" x14ac:dyDescent="0.3">
      <c r="A18" s="7" t="s">
        <v>80</v>
      </c>
      <c r="B18" s="8" t="s">
        <v>81</v>
      </c>
      <c r="C18" s="8" t="s">
        <v>44</v>
      </c>
      <c r="D18" s="9" t="s">
        <v>13</v>
      </c>
      <c r="E18" s="10" t="s">
        <v>82</v>
      </c>
      <c r="F18" s="11" t="s">
        <v>83</v>
      </c>
      <c r="G18" s="8" t="s">
        <v>16</v>
      </c>
      <c r="H18" s="10"/>
    </row>
    <row r="19" spans="1:8" x14ac:dyDescent="0.3">
      <c r="A19" s="12"/>
      <c r="B19" s="12"/>
      <c r="C19" s="12"/>
      <c r="D19" s="12"/>
      <c r="E19" s="12"/>
      <c r="F19" s="12"/>
      <c r="G19" s="12"/>
      <c r="H19" s="12"/>
    </row>
    <row r="20" spans="1:8" ht="28.05" customHeight="1" x14ac:dyDescent="0.3">
      <c r="A20" s="20" t="s">
        <v>84</v>
      </c>
      <c r="B20" s="19"/>
      <c r="C20" s="19"/>
      <c r="D20" s="19"/>
      <c r="E20" s="19"/>
      <c r="F20" s="19"/>
      <c r="G20" s="19"/>
      <c r="H20" s="19"/>
    </row>
    <row r="21" spans="1:8" ht="34.049999999999997" customHeight="1" x14ac:dyDescent="0.3">
      <c r="A21" s="2" t="s">
        <v>85</v>
      </c>
      <c r="B21" s="3" t="s">
        <v>86</v>
      </c>
      <c r="C21" s="3" t="s">
        <v>87</v>
      </c>
      <c r="D21" s="4" t="s">
        <v>88</v>
      </c>
      <c r="E21" s="5" t="s">
        <v>89</v>
      </c>
      <c r="F21" s="6" t="s">
        <v>90</v>
      </c>
      <c r="G21" s="3" t="s">
        <v>16</v>
      </c>
      <c r="H21" s="5"/>
    </row>
    <row r="22" spans="1:8" ht="34.049999999999997" customHeight="1" x14ac:dyDescent="0.3">
      <c r="A22" s="2" t="s">
        <v>91</v>
      </c>
      <c r="B22" s="3" t="s">
        <v>92</v>
      </c>
      <c r="C22" s="3" t="s">
        <v>87</v>
      </c>
      <c r="D22" s="4" t="s">
        <v>88</v>
      </c>
      <c r="E22" s="5" t="s">
        <v>93</v>
      </c>
      <c r="F22" s="6" t="s">
        <v>94</v>
      </c>
      <c r="G22" s="3" t="s">
        <v>16</v>
      </c>
      <c r="H22" s="5"/>
    </row>
    <row r="23" spans="1:8" ht="34.049999999999997" customHeight="1" x14ac:dyDescent="0.3">
      <c r="A23" s="2" t="s">
        <v>95</v>
      </c>
      <c r="B23" s="3" t="s">
        <v>96</v>
      </c>
      <c r="C23" s="3" t="s">
        <v>97</v>
      </c>
      <c r="D23" s="4" t="s">
        <v>88</v>
      </c>
      <c r="E23" s="5" t="s">
        <v>98</v>
      </c>
      <c r="F23" s="6" t="s">
        <v>99</v>
      </c>
      <c r="G23" s="3" t="s">
        <v>16</v>
      </c>
      <c r="H23" s="5"/>
    </row>
    <row r="24" spans="1:8" ht="34.049999999999997" customHeight="1" x14ac:dyDescent="0.3">
      <c r="A24" s="2" t="s">
        <v>100</v>
      </c>
      <c r="B24" s="3" t="s">
        <v>101</v>
      </c>
      <c r="C24" s="3" t="s">
        <v>102</v>
      </c>
      <c r="D24" s="4" t="s">
        <v>88</v>
      </c>
      <c r="E24" s="5" t="s">
        <v>103</v>
      </c>
      <c r="F24" s="6" t="s">
        <v>104</v>
      </c>
      <c r="G24" s="3" t="s">
        <v>16</v>
      </c>
      <c r="H24" s="5"/>
    </row>
    <row r="25" spans="1:8" ht="34.049999999999997" customHeight="1" x14ac:dyDescent="0.3">
      <c r="A25" s="7" t="s">
        <v>105</v>
      </c>
      <c r="B25" s="8" t="s">
        <v>106</v>
      </c>
      <c r="C25" s="8" t="s">
        <v>44</v>
      </c>
      <c r="D25" s="9" t="s">
        <v>88</v>
      </c>
      <c r="E25" s="10" t="s">
        <v>107</v>
      </c>
      <c r="F25" s="11" t="s">
        <v>108</v>
      </c>
      <c r="G25" s="8" t="s">
        <v>16</v>
      </c>
      <c r="H25" s="10"/>
    </row>
    <row r="26" spans="1:8" ht="34.049999999999997" customHeight="1" x14ac:dyDescent="0.3">
      <c r="A26" s="2" t="s">
        <v>109</v>
      </c>
      <c r="B26" s="3" t="s">
        <v>110</v>
      </c>
      <c r="C26" s="3" t="s">
        <v>111</v>
      </c>
      <c r="D26" s="4" t="s">
        <v>88</v>
      </c>
      <c r="E26" s="5" t="s">
        <v>112</v>
      </c>
      <c r="F26" s="6" t="s">
        <v>113</v>
      </c>
      <c r="G26" s="3" t="s">
        <v>16</v>
      </c>
      <c r="H26" s="5"/>
    </row>
    <row r="27" spans="1:8" ht="34.049999999999997" customHeight="1" x14ac:dyDescent="0.3">
      <c r="A27" s="2" t="s">
        <v>114</v>
      </c>
      <c r="B27" s="3" t="s">
        <v>115</v>
      </c>
      <c r="C27" s="3" t="s">
        <v>116</v>
      </c>
      <c r="D27" s="4" t="s">
        <v>88</v>
      </c>
      <c r="E27" s="5" t="s">
        <v>117</v>
      </c>
      <c r="F27" s="6" t="s">
        <v>118</v>
      </c>
      <c r="G27" s="3" t="s">
        <v>16</v>
      </c>
      <c r="H27" s="5"/>
    </row>
    <row r="28" spans="1:8" ht="34.049999999999997" customHeight="1" x14ac:dyDescent="0.3">
      <c r="A28" s="2" t="s">
        <v>119</v>
      </c>
      <c r="B28" s="3" t="s">
        <v>120</v>
      </c>
      <c r="C28" s="3" t="s">
        <v>121</v>
      </c>
      <c r="D28" s="4" t="s">
        <v>88</v>
      </c>
      <c r="E28" s="5" t="s">
        <v>122</v>
      </c>
      <c r="F28" s="6" t="s">
        <v>123</v>
      </c>
      <c r="G28" s="3" t="s">
        <v>16</v>
      </c>
      <c r="H28" s="5"/>
    </row>
    <row r="29" spans="1:8" ht="34.049999999999997" customHeight="1" x14ac:dyDescent="0.3">
      <c r="A29" s="2" t="s">
        <v>124</v>
      </c>
      <c r="B29" s="3" t="s">
        <v>125</v>
      </c>
      <c r="C29" s="3" t="s">
        <v>126</v>
      </c>
      <c r="D29" s="4" t="s">
        <v>88</v>
      </c>
      <c r="E29" s="5" t="s">
        <v>127</v>
      </c>
      <c r="F29" s="6" t="s">
        <v>128</v>
      </c>
      <c r="G29" s="3" t="s">
        <v>16</v>
      </c>
      <c r="H29" s="5"/>
    </row>
    <row r="30" spans="1:8" ht="34.049999999999997" customHeight="1" x14ac:dyDescent="0.3">
      <c r="A30" s="2" t="s">
        <v>129</v>
      </c>
      <c r="B30" s="3" t="s">
        <v>130</v>
      </c>
      <c r="C30" s="3" t="s">
        <v>131</v>
      </c>
      <c r="D30" s="4" t="s">
        <v>88</v>
      </c>
      <c r="E30" s="5" t="s">
        <v>132</v>
      </c>
      <c r="F30" s="6" t="s">
        <v>133</v>
      </c>
      <c r="G30" s="3" t="s">
        <v>16</v>
      </c>
      <c r="H30" s="5"/>
    </row>
    <row r="31" spans="1:8" ht="34.049999999999997" customHeight="1" x14ac:dyDescent="0.3">
      <c r="A31" s="7" t="s">
        <v>134</v>
      </c>
      <c r="B31" s="8" t="s">
        <v>135</v>
      </c>
      <c r="C31" s="8" t="s">
        <v>44</v>
      </c>
      <c r="D31" s="9" t="s">
        <v>88</v>
      </c>
      <c r="E31" s="10" t="s">
        <v>136</v>
      </c>
      <c r="F31" s="11" t="s">
        <v>137</v>
      </c>
      <c r="G31" s="8" t="s">
        <v>16</v>
      </c>
      <c r="H31" s="10"/>
    </row>
    <row r="32" spans="1:8" ht="34.049999999999997" customHeight="1" x14ac:dyDescent="0.3">
      <c r="A32" s="2" t="s">
        <v>138</v>
      </c>
      <c r="B32" s="3" t="s">
        <v>139</v>
      </c>
      <c r="C32" s="3" t="s">
        <v>140</v>
      </c>
      <c r="D32" s="4" t="s">
        <v>88</v>
      </c>
      <c r="E32" s="5" t="s">
        <v>141</v>
      </c>
      <c r="F32" s="6" t="s">
        <v>142</v>
      </c>
      <c r="G32" s="3" t="s">
        <v>16</v>
      </c>
      <c r="H32" s="5"/>
    </row>
    <row r="33" spans="1:8" ht="34.049999999999997" customHeight="1" x14ac:dyDescent="0.3">
      <c r="A33" s="2" t="s">
        <v>143</v>
      </c>
      <c r="B33" s="3" t="s">
        <v>144</v>
      </c>
      <c r="C33" s="3" t="s">
        <v>145</v>
      </c>
      <c r="D33" s="4" t="s">
        <v>88</v>
      </c>
      <c r="E33" s="5" t="s">
        <v>146</v>
      </c>
      <c r="F33" s="6" t="s">
        <v>147</v>
      </c>
      <c r="G33" s="3" t="s">
        <v>16</v>
      </c>
      <c r="H33" s="5"/>
    </row>
    <row r="34" spans="1:8" ht="34.049999999999997" customHeight="1" x14ac:dyDescent="0.3">
      <c r="A34" s="7" t="s">
        <v>148</v>
      </c>
      <c r="B34" s="8" t="s">
        <v>149</v>
      </c>
      <c r="C34" s="8" t="s">
        <v>44</v>
      </c>
      <c r="D34" s="9" t="s">
        <v>88</v>
      </c>
      <c r="E34" s="10" t="s">
        <v>82</v>
      </c>
      <c r="F34" s="11" t="s">
        <v>150</v>
      </c>
      <c r="G34" s="8" t="s">
        <v>16</v>
      </c>
      <c r="H34" s="10"/>
    </row>
    <row r="35" spans="1:8" ht="34.049999999999997" customHeight="1" x14ac:dyDescent="0.3">
      <c r="A35" s="2" t="s">
        <v>151</v>
      </c>
      <c r="B35" s="3" t="s">
        <v>152</v>
      </c>
      <c r="C35" s="3" t="s">
        <v>153</v>
      </c>
      <c r="D35" s="4" t="s">
        <v>88</v>
      </c>
      <c r="E35" s="5" t="s">
        <v>154</v>
      </c>
      <c r="F35" s="6" t="s">
        <v>155</v>
      </c>
      <c r="G35" s="3" t="s">
        <v>16</v>
      </c>
      <c r="H35" s="5"/>
    </row>
    <row r="36" spans="1:8" ht="34.049999999999997" customHeight="1" x14ac:dyDescent="0.3">
      <c r="A36" s="2" t="s">
        <v>156</v>
      </c>
      <c r="B36" s="3" t="s">
        <v>157</v>
      </c>
      <c r="C36" s="3" t="s">
        <v>153</v>
      </c>
      <c r="D36" s="4" t="s">
        <v>88</v>
      </c>
      <c r="E36" s="5" t="s">
        <v>158</v>
      </c>
      <c r="F36" s="6" t="s">
        <v>159</v>
      </c>
      <c r="G36" s="3" t="s">
        <v>16</v>
      </c>
      <c r="H36" s="5"/>
    </row>
    <row r="37" spans="1:8" ht="34.049999999999997" customHeight="1" x14ac:dyDescent="0.3">
      <c r="A37" s="2" t="s">
        <v>160</v>
      </c>
      <c r="B37" s="3" t="s">
        <v>161</v>
      </c>
      <c r="C37" s="3" t="s">
        <v>162</v>
      </c>
      <c r="D37" s="4" t="s">
        <v>88</v>
      </c>
      <c r="E37" s="5" t="s">
        <v>163</v>
      </c>
      <c r="F37" s="6" t="s">
        <v>164</v>
      </c>
      <c r="G37" s="3" t="s">
        <v>16</v>
      </c>
      <c r="H37" s="5"/>
    </row>
    <row r="38" spans="1:8" ht="34.049999999999997" customHeight="1" x14ac:dyDescent="0.3">
      <c r="A38" s="2" t="s">
        <v>165</v>
      </c>
      <c r="B38" s="3" t="s">
        <v>166</v>
      </c>
      <c r="C38" s="3" t="s">
        <v>167</v>
      </c>
      <c r="D38" s="4" t="s">
        <v>88</v>
      </c>
      <c r="E38" s="5" t="s">
        <v>168</v>
      </c>
      <c r="F38" s="6" t="s">
        <v>169</v>
      </c>
      <c r="G38" s="3" t="s">
        <v>16</v>
      </c>
      <c r="H38" s="5"/>
    </row>
    <row r="39" spans="1:8" ht="34.049999999999997" customHeight="1" x14ac:dyDescent="0.3">
      <c r="A39" s="2" t="s">
        <v>170</v>
      </c>
      <c r="B39" s="3" t="s">
        <v>171</v>
      </c>
      <c r="C39" s="3" t="s">
        <v>172</v>
      </c>
      <c r="D39" s="4" t="s">
        <v>88</v>
      </c>
      <c r="E39" s="5" t="s">
        <v>173</v>
      </c>
      <c r="F39" s="6" t="s">
        <v>174</v>
      </c>
      <c r="G39" s="3" t="s">
        <v>16</v>
      </c>
      <c r="H39" s="5"/>
    </row>
    <row r="40" spans="1:8" ht="34.049999999999997" customHeight="1" x14ac:dyDescent="0.3">
      <c r="A40" s="2" t="s">
        <v>175</v>
      </c>
      <c r="B40" s="3" t="s">
        <v>176</v>
      </c>
      <c r="C40" s="3" t="s">
        <v>177</v>
      </c>
      <c r="D40" s="4" t="s">
        <v>88</v>
      </c>
      <c r="E40" s="5" t="s">
        <v>178</v>
      </c>
      <c r="F40" s="6" t="s">
        <v>179</v>
      </c>
      <c r="G40" s="3" t="s">
        <v>16</v>
      </c>
      <c r="H40" s="5"/>
    </row>
    <row r="41" spans="1:8" ht="34.049999999999997" customHeight="1" x14ac:dyDescent="0.3">
      <c r="A41" s="2" t="s">
        <v>180</v>
      </c>
      <c r="B41" s="3" t="s">
        <v>181</v>
      </c>
      <c r="C41" s="3" t="s">
        <v>182</v>
      </c>
      <c r="D41" s="4" t="s">
        <v>88</v>
      </c>
      <c r="E41" s="5" t="s">
        <v>183</v>
      </c>
      <c r="F41" s="6" t="s">
        <v>184</v>
      </c>
      <c r="G41" s="3" t="s">
        <v>16</v>
      </c>
      <c r="H41" s="5"/>
    </row>
    <row r="42" spans="1:8" ht="34.049999999999997" customHeight="1" x14ac:dyDescent="0.3">
      <c r="A42" s="7" t="s">
        <v>185</v>
      </c>
      <c r="B42" s="8" t="s">
        <v>186</v>
      </c>
      <c r="C42" s="8" t="s">
        <v>44</v>
      </c>
      <c r="D42" s="9" t="s">
        <v>88</v>
      </c>
      <c r="E42" s="10" t="s">
        <v>187</v>
      </c>
      <c r="F42" s="11" t="s">
        <v>188</v>
      </c>
      <c r="G42" s="8" t="s">
        <v>16</v>
      </c>
      <c r="H42" s="10"/>
    </row>
    <row r="43" spans="1:8" ht="34.049999999999997" customHeight="1" x14ac:dyDescent="0.3">
      <c r="A43" s="2" t="s">
        <v>189</v>
      </c>
      <c r="B43" s="3" t="s">
        <v>190</v>
      </c>
      <c r="C43" s="3" t="s">
        <v>191</v>
      </c>
      <c r="D43" s="4" t="s">
        <v>88</v>
      </c>
      <c r="E43" s="5" t="s">
        <v>192</v>
      </c>
      <c r="F43" s="6" t="s">
        <v>193</v>
      </c>
      <c r="G43" s="3" t="s">
        <v>16</v>
      </c>
      <c r="H43" s="5"/>
    </row>
    <row r="44" spans="1:8" ht="34.049999999999997" customHeight="1" x14ac:dyDescent="0.3">
      <c r="A44" s="7" t="s">
        <v>194</v>
      </c>
      <c r="B44" s="8" t="s">
        <v>195</v>
      </c>
      <c r="C44" s="8" t="s">
        <v>44</v>
      </c>
      <c r="D44" s="9" t="s">
        <v>88</v>
      </c>
      <c r="E44" s="10" t="s">
        <v>82</v>
      </c>
      <c r="F44" s="11" t="s">
        <v>196</v>
      </c>
      <c r="G44" s="8" t="s">
        <v>16</v>
      </c>
      <c r="H44" s="10"/>
    </row>
    <row r="45" spans="1:8" ht="34.049999999999997" customHeight="1" x14ac:dyDescent="0.3">
      <c r="A45" s="7" t="s">
        <v>197</v>
      </c>
      <c r="B45" s="8" t="s">
        <v>198</v>
      </c>
      <c r="C45" s="8" t="s">
        <v>44</v>
      </c>
      <c r="D45" s="9" t="s">
        <v>88</v>
      </c>
      <c r="E45" s="10" t="s">
        <v>199</v>
      </c>
      <c r="F45" s="11" t="s">
        <v>200</v>
      </c>
      <c r="G45" s="8" t="s">
        <v>16</v>
      </c>
      <c r="H45" s="10"/>
    </row>
    <row r="46" spans="1:8" ht="34.049999999999997" customHeight="1" x14ac:dyDescent="0.3">
      <c r="A46" s="7" t="s">
        <v>201</v>
      </c>
      <c r="B46" s="8" t="s">
        <v>202</v>
      </c>
      <c r="C46" s="8" t="s">
        <v>44</v>
      </c>
      <c r="D46" s="9" t="s">
        <v>88</v>
      </c>
      <c r="E46" s="10" t="s">
        <v>203</v>
      </c>
      <c r="F46" s="11" t="s">
        <v>204</v>
      </c>
      <c r="G46" s="8" t="s">
        <v>16</v>
      </c>
      <c r="H46" s="10"/>
    </row>
    <row r="47" spans="1:8" ht="34.049999999999997" customHeight="1" x14ac:dyDescent="0.3">
      <c r="A47" s="7" t="s">
        <v>205</v>
      </c>
      <c r="B47" s="8" t="s">
        <v>206</v>
      </c>
      <c r="C47" s="8" t="s">
        <v>44</v>
      </c>
      <c r="D47" s="9" t="s">
        <v>88</v>
      </c>
      <c r="E47" s="10" t="s">
        <v>207</v>
      </c>
      <c r="F47" s="11" t="s">
        <v>208</v>
      </c>
      <c r="G47" s="8" t="s">
        <v>16</v>
      </c>
      <c r="H47" s="10"/>
    </row>
    <row r="48" spans="1:8" ht="34.049999999999997" customHeight="1" x14ac:dyDescent="0.3">
      <c r="A48" s="7" t="s">
        <v>209</v>
      </c>
      <c r="B48" s="8" t="s">
        <v>210</v>
      </c>
      <c r="C48" s="8" t="s">
        <v>44</v>
      </c>
      <c r="D48" s="9" t="s">
        <v>88</v>
      </c>
      <c r="E48" s="10" t="s">
        <v>211</v>
      </c>
      <c r="F48" s="11" t="s">
        <v>212</v>
      </c>
      <c r="G48" s="8" t="s">
        <v>16</v>
      </c>
      <c r="H48" s="10"/>
    </row>
    <row r="49" spans="1:8" x14ac:dyDescent="0.3">
      <c r="A49" s="12"/>
      <c r="B49" s="12"/>
      <c r="C49" s="12"/>
      <c r="D49" s="12"/>
      <c r="E49" s="12"/>
      <c r="F49" s="12"/>
      <c r="G49" s="12"/>
      <c r="H49" s="12"/>
    </row>
    <row r="50" spans="1:8" ht="28.05" customHeight="1" x14ac:dyDescent="0.3">
      <c r="A50" s="18" t="s">
        <v>213</v>
      </c>
      <c r="B50" s="19"/>
      <c r="C50" s="19"/>
      <c r="D50" s="19"/>
      <c r="E50" s="19"/>
      <c r="F50" s="19"/>
      <c r="G50" s="19"/>
      <c r="H50" s="19"/>
    </row>
    <row r="51" spans="1:8" ht="34.049999999999997" customHeight="1" x14ac:dyDescent="0.3">
      <c r="A51" s="2" t="s">
        <v>214</v>
      </c>
      <c r="B51" s="3" t="s">
        <v>215</v>
      </c>
      <c r="C51" s="3" t="s">
        <v>216</v>
      </c>
      <c r="D51" s="4" t="s">
        <v>217</v>
      </c>
      <c r="E51" s="5" t="s">
        <v>218</v>
      </c>
      <c r="F51" s="6" t="s">
        <v>219</v>
      </c>
      <c r="G51" s="3" t="s">
        <v>16</v>
      </c>
      <c r="H51" s="5"/>
    </row>
    <row r="52" spans="1:8" ht="34.049999999999997" customHeight="1" x14ac:dyDescent="0.3">
      <c r="A52" s="2" t="s">
        <v>220</v>
      </c>
      <c r="B52" s="3" t="s">
        <v>221</v>
      </c>
      <c r="C52" s="3" t="s">
        <v>216</v>
      </c>
      <c r="D52" s="4" t="s">
        <v>217</v>
      </c>
      <c r="E52" s="5" t="s">
        <v>222</v>
      </c>
      <c r="F52" s="6" t="s">
        <v>223</v>
      </c>
      <c r="G52" s="3" t="s">
        <v>16</v>
      </c>
      <c r="H52" s="5"/>
    </row>
    <row r="53" spans="1:8" ht="34.049999999999997" customHeight="1" x14ac:dyDescent="0.3">
      <c r="A53" s="2" t="s">
        <v>224</v>
      </c>
      <c r="B53" s="3" t="s">
        <v>225</v>
      </c>
      <c r="C53" s="3" t="s">
        <v>226</v>
      </c>
      <c r="D53" s="4" t="s">
        <v>217</v>
      </c>
      <c r="E53" s="5" t="s">
        <v>227</v>
      </c>
      <c r="F53" s="6" t="s">
        <v>228</v>
      </c>
      <c r="G53" s="3" t="s">
        <v>16</v>
      </c>
      <c r="H53" s="5"/>
    </row>
    <row r="54" spans="1:8" ht="34.049999999999997" customHeight="1" x14ac:dyDescent="0.3">
      <c r="A54" s="2" t="s">
        <v>229</v>
      </c>
      <c r="B54" s="3" t="s">
        <v>230</v>
      </c>
      <c r="C54" s="3" t="s">
        <v>226</v>
      </c>
      <c r="D54" s="4" t="s">
        <v>217</v>
      </c>
      <c r="E54" s="5" t="s">
        <v>231</v>
      </c>
      <c r="F54" s="6" t="s">
        <v>232</v>
      </c>
      <c r="G54" s="3" t="s">
        <v>16</v>
      </c>
      <c r="H54" s="5"/>
    </row>
    <row r="55" spans="1:8" ht="34.049999999999997" customHeight="1" x14ac:dyDescent="0.3">
      <c r="A55" s="7" t="s">
        <v>233</v>
      </c>
      <c r="B55" s="8" t="s">
        <v>234</v>
      </c>
      <c r="C55" s="8" t="s">
        <v>44</v>
      </c>
      <c r="D55" s="9" t="s">
        <v>217</v>
      </c>
      <c r="E55" s="10" t="s">
        <v>235</v>
      </c>
      <c r="F55" s="11" t="s">
        <v>236</v>
      </c>
      <c r="G55" s="8" t="s">
        <v>16</v>
      </c>
      <c r="H55" s="10"/>
    </row>
    <row r="56" spans="1:8" ht="34.049999999999997" customHeight="1" x14ac:dyDescent="0.3">
      <c r="A56" s="2" t="s">
        <v>237</v>
      </c>
      <c r="B56" s="3" t="s">
        <v>238</v>
      </c>
      <c r="C56" s="3" t="s">
        <v>239</v>
      </c>
      <c r="D56" s="4" t="s">
        <v>217</v>
      </c>
      <c r="E56" s="5" t="s">
        <v>240</v>
      </c>
      <c r="F56" s="6" t="s">
        <v>241</v>
      </c>
      <c r="G56" s="3" t="s">
        <v>16</v>
      </c>
      <c r="H56" s="5"/>
    </row>
    <row r="57" spans="1:8" ht="34.049999999999997" customHeight="1" x14ac:dyDescent="0.3">
      <c r="A57" s="2" t="s">
        <v>242</v>
      </c>
      <c r="B57" s="3" t="s">
        <v>243</v>
      </c>
      <c r="C57" s="3" t="s">
        <v>239</v>
      </c>
      <c r="D57" s="4" t="s">
        <v>217</v>
      </c>
      <c r="E57" s="5" t="s">
        <v>244</v>
      </c>
      <c r="F57" s="6" t="s">
        <v>245</v>
      </c>
      <c r="G57" s="3" t="s">
        <v>16</v>
      </c>
      <c r="H57" s="5"/>
    </row>
    <row r="58" spans="1:8" ht="34.049999999999997" customHeight="1" x14ac:dyDescent="0.3">
      <c r="A58" s="2" t="s">
        <v>246</v>
      </c>
      <c r="B58" s="3" t="s">
        <v>247</v>
      </c>
      <c r="C58" s="3" t="s">
        <v>248</v>
      </c>
      <c r="D58" s="4" t="s">
        <v>217</v>
      </c>
      <c r="E58" s="5" t="s">
        <v>249</v>
      </c>
      <c r="F58" s="6" t="s">
        <v>250</v>
      </c>
      <c r="G58" s="3" t="s">
        <v>16</v>
      </c>
      <c r="H58" s="5"/>
    </row>
    <row r="59" spans="1:8" ht="34.049999999999997" customHeight="1" x14ac:dyDescent="0.3">
      <c r="A59" s="7" t="s">
        <v>251</v>
      </c>
      <c r="B59" s="8" t="s">
        <v>252</v>
      </c>
      <c r="C59" s="8" t="s">
        <v>44</v>
      </c>
      <c r="D59" s="9" t="s">
        <v>217</v>
      </c>
      <c r="E59" s="10" t="s">
        <v>253</v>
      </c>
      <c r="F59" s="11" t="s">
        <v>254</v>
      </c>
      <c r="G59" s="8" t="s">
        <v>16</v>
      </c>
      <c r="H59" s="10"/>
    </row>
    <row r="60" spans="1:8" ht="34.049999999999997" customHeight="1" x14ac:dyDescent="0.3">
      <c r="A60" s="2" t="s">
        <v>255</v>
      </c>
      <c r="B60" s="3" t="s">
        <v>256</v>
      </c>
      <c r="C60" s="3" t="s">
        <v>257</v>
      </c>
      <c r="D60" s="4" t="s">
        <v>217</v>
      </c>
      <c r="E60" s="5" t="s">
        <v>258</v>
      </c>
      <c r="F60" s="6" t="s">
        <v>259</v>
      </c>
      <c r="G60" s="3" t="s">
        <v>16</v>
      </c>
      <c r="H60" s="5"/>
    </row>
    <row r="61" spans="1:8" ht="34.049999999999997" customHeight="1" x14ac:dyDescent="0.3">
      <c r="A61" s="2" t="s">
        <v>260</v>
      </c>
      <c r="B61" s="3" t="s">
        <v>261</v>
      </c>
      <c r="C61" s="3" t="s">
        <v>257</v>
      </c>
      <c r="D61" s="4" t="s">
        <v>217</v>
      </c>
      <c r="E61" s="5" t="s">
        <v>262</v>
      </c>
      <c r="F61" s="6" t="s">
        <v>263</v>
      </c>
      <c r="G61" s="3" t="s">
        <v>16</v>
      </c>
      <c r="H61" s="5"/>
    </row>
    <row r="62" spans="1:8" ht="34.049999999999997" customHeight="1" x14ac:dyDescent="0.3">
      <c r="A62" s="2" t="s">
        <v>264</v>
      </c>
      <c r="B62" s="3" t="s">
        <v>265</v>
      </c>
      <c r="C62" s="3" t="s">
        <v>266</v>
      </c>
      <c r="D62" s="4" t="s">
        <v>217</v>
      </c>
      <c r="E62" s="5" t="s">
        <v>267</v>
      </c>
      <c r="F62" s="6" t="s">
        <v>268</v>
      </c>
      <c r="G62" s="3" t="s">
        <v>16</v>
      </c>
      <c r="H62" s="5"/>
    </row>
    <row r="63" spans="1:8" ht="34.049999999999997" customHeight="1" x14ac:dyDescent="0.3">
      <c r="A63" s="2" t="s">
        <v>269</v>
      </c>
      <c r="B63" s="3" t="s">
        <v>270</v>
      </c>
      <c r="C63" s="3" t="s">
        <v>266</v>
      </c>
      <c r="D63" s="4" t="s">
        <v>217</v>
      </c>
      <c r="E63" s="5" t="s">
        <v>271</v>
      </c>
      <c r="F63" s="6" t="s">
        <v>272</v>
      </c>
      <c r="G63" s="3" t="s">
        <v>16</v>
      </c>
      <c r="H63" s="5"/>
    </row>
    <row r="64" spans="1:8" ht="34.049999999999997" customHeight="1" x14ac:dyDescent="0.3">
      <c r="A64" s="2" t="s">
        <v>273</v>
      </c>
      <c r="B64" s="3" t="s">
        <v>274</v>
      </c>
      <c r="C64" s="3" t="s">
        <v>266</v>
      </c>
      <c r="D64" s="4" t="s">
        <v>217</v>
      </c>
      <c r="E64" s="5" t="s">
        <v>275</v>
      </c>
      <c r="F64" s="6" t="s">
        <v>276</v>
      </c>
      <c r="G64" s="3" t="s">
        <v>16</v>
      </c>
      <c r="H64" s="5"/>
    </row>
    <row r="65" spans="1:8" ht="34.049999999999997" customHeight="1" x14ac:dyDescent="0.3">
      <c r="A65" s="7" t="s">
        <v>277</v>
      </c>
      <c r="B65" s="8" t="s">
        <v>278</v>
      </c>
      <c r="C65" s="8" t="s">
        <v>44</v>
      </c>
      <c r="D65" s="9" t="s">
        <v>217</v>
      </c>
      <c r="E65" s="10" t="s">
        <v>82</v>
      </c>
      <c r="F65" s="11" t="s">
        <v>279</v>
      </c>
      <c r="G65" s="8" t="s">
        <v>16</v>
      </c>
      <c r="H65" s="10"/>
    </row>
    <row r="66" spans="1:8" ht="34.049999999999997" customHeight="1" x14ac:dyDescent="0.3">
      <c r="A66" s="7" t="s">
        <v>280</v>
      </c>
      <c r="B66" s="8" t="s">
        <v>281</v>
      </c>
      <c r="C66" s="8" t="s">
        <v>44</v>
      </c>
      <c r="D66" s="9" t="s">
        <v>217</v>
      </c>
      <c r="E66" s="10" t="s">
        <v>282</v>
      </c>
      <c r="F66" s="11" t="s">
        <v>283</v>
      </c>
      <c r="G66" s="8" t="s">
        <v>16</v>
      </c>
      <c r="H66" s="10"/>
    </row>
    <row r="67" spans="1:8" ht="34.049999999999997" customHeight="1" x14ac:dyDescent="0.3">
      <c r="A67" s="7" t="s">
        <v>284</v>
      </c>
      <c r="B67" s="8" t="s">
        <v>285</v>
      </c>
      <c r="C67" s="8" t="s">
        <v>44</v>
      </c>
      <c r="D67" s="9" t="s">
        <v>217</v>
      </c>
      <c r="E67" s="10" t="s">
        <v>286</v>
      </c>
      <c r="F67" s="11" t="s">
        <v>287</v>
      </c>
      <c r="G67" s="8" t="s">
        <v>16</v>
      </c>
      <c r="H67" s="10"/>
    </row>
    <row r="68" spans="1:8" ht="34.049999999999997" customHeight="1" x14ac:dyDescent="0.3">
      <c r="A68" s="7" t="s">
        <v>288</v>
      </c>
      <c r="B68" s="8" t="s">
        <v>289</v>
      </c>
      <c r="C68" s="8" t="s">
        <v>44</v>
      </c>
      <c r="D68" s="9" t="s">
        <v>217</v>
      </c>
      <c r="E68" s="10" t="s">
        <v>290</v>
      </c>
      <c r="F68" s="11" t="s">
        <v>291</v>
      </c>
      <c r="G68" s="8" t="s">
        <v>16</v>
      </c>
      <c r="H68" s="10"/>
    </row>
    <row r="69" spans="1:8" ht="34.049999999999997" customHeight="1" x14ac:dyDescent="0.3">
      <c r="A69" s="7" t="s">
        <v>292</v>
      </c>
      <c r="B69" s="8" t="s">
        <v>293</v>
      </c>
      <c r="C69" s="8" t="s">
        <v>44</v>
      </c>
      <c r="D69" s="9" t="s">
        <v>217</v>
      </c>
      <c r="E69" s="10" t="s">
        <v>294</v>
      </c>
      <c r="F69" s="11" t="s">
        <v>295</v>
      </c>
      <c r="G69" s="8" t="s">
        <v>16</v>
      </c>
      <c r="H69" s="10"/>
    </row>
    <row r="70" spans="1:8" ht="34.049999999999997" customHeight="1" x14ac:dyDescent="0.3">
      <c r="A70" s="7" t="s">
        <v>296</v>
      </c>
      <c r="B70" s="8" t="s">
        <v>297</v>
      </c>
      <c r="C70" s="8" t="s">
        <v>44</v>
      </c>
      <c r="D70" s="9" t="s">
        <v>217</v>
      </c>
      <c r="E70" s="10" t="s">
        <v>82</v>
      </c>
      <c r="F70" s="11" t="s">
        <v>298</v>
      </c>
      <c r="G70" s="8" t="s">
        <v>16</v>
      </c>
      <c r="H70" s="10"/>
    </row>
    <row r="71" spans="1:8" ht="34.049999999999997" customHeight="1" x14ac:dyDescent="0.3">
      <c r="A71" s="7" t="s">
        <v>299</v>
      </c>
      <c r="B71" s="8" t="s">
        <v>300</v>
      </c>
      <c r="C71" s="8" t="s">
        <v>44</v>
      </c>
      <c r="D71" s="9" t="s">
        <v>217</v>
      </c>
      <c r="E71" s="10" t="s">
        <v>301</v>
      </c>
      <c r="F71" s="11" t="s">
        <v>302</v>
      </c>
      <c r="G71" s="8" t="s">
        <v>16</v>
      </c>
      <c r="H71" s="10"/>
    </row>
    <row r="72" spans="1:8" x14ac:dyDescent="0.3">
      <c r="A72" s="12"/>
      <c r="B72" s="12"/>
      <c r="C72" s="12"/>
      <c r="D72" s="12"/>
      <c r="E72" s="12"/>
      <c r="F72" s="12"/>
      <c r="G72" s="12"/>
      <c r="H72" s="12"/>
    </row>
  </sheetData>
  <mergeCells count="4">
    <mergeCell ref="A50:H50"/>
    <mergeCell ref="A20:H20"/>
    <mergeCell ref="A3:H3"/>
    <mergeCell ref="A1:H1"/>
  </mergeCells>
  <dataValidations count="1">
    <dataValidation type="list" allowBlank="1" sqref="G4 G5 G6 G7 G8 G9 G10 G11 G12 G13 G14 G15 G16 G17 G18 G21 G22 G23 G24 G25 G26 G27 G28 G29 G30 G31 G32 G33 G34 G35 G36 G37 G38 G39 G40 G41 G42 G43 G44 G45 G46 G47 G48 G51 G52 G53 G54 G55 G56 G57 G58 G59 G60 G61 G62 G63 G64 G65 G66 G67 G68 G69 G70 G71" xr:uid="{00000000-0002-0000-0000-000000000000}">
      <formula1>"Done,In Progress,Skipped,Not Started"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workbookViewId="0">
      <selection sqref="A1:D1"/>
    </sheetView>
  </sheetViews>
  <sheetFormatPr defaultRowHeight="14.4" x14ac:dyDescent="0.3"/>
  <cols>
    <col min="1" max="1" width="32" customWidth="1"/>
    <col min="2" max="3" width="14" customWidth="1"/>
    <col min="4" max="4" width="35.21875" customWidth="1"/>
  </cols>
  <sheetData>
    <row r="1" spans="1:4" ht="37.950000000000003" customHeight="1" x14ac:dyDescent="0.3">
      <c r="A1" s="22" t="s">
        <v>303</v>
      </c>
      <c r="B1" s="19"/>
      <c r="C1" s="19"/>
      <c r="D1" s="19"/>
    </row>
    <row r="2" spans="1:4" ht="22.05" customHeight="1" x14ac:dyDescent="0.3">
      <c r="A2" s="1" t="s">
        <v>4</v>
      </c>
      <c r="B2" s="1" t="s">
        <v>304</v>
      </c>
      <c r="C2" s="1" t="s">
        <v>305</v>
      </c>
      <c r="D2" s="1" t="s">
        <v>306</v>
      </c>
    </row>
    <row r="3" spans="1:4" ht="19.95" customHeight="1" x14ac:dyDescent="0.3">
      <c r="A3" s="13" t="s">
        <v>307</v>
      </c>
      <c r="B3" s="14">
        <v>15</v>
      </c>
      <c r="C3" s="14">
        <f>COUNTIF('Daily Tracker'!G:G,"Done")</f>
        <v>0</v>
      </c>
      <c r="D3" s="14" t="str">
        <f>IF(B3=0,"",TEXT(C3/B3,"0%")&amp;" complete")</f>
        <v>0% complete</v>
      </c>
    </row>
    <row r="4" spans="1:4" ht="19.95" customHeight="1" x14ac:dyDescent="0.3">
      <c r="A4" s="13" t="s">
        <v>308</v>
      </c>
      <c r="B4" s="14">
        <v>28</v>
      </c>
      <c r="C4" s="14">
        <f>COUNTIF('Daily Tracker'!G:G,"Done")</f>
        <v>0</v>
      </c>
      <c r="D4" s="14" t="str">
        <f>IF(B4=0,"",TEXT(C4/B4,"0%")&amp;" complete")</f>
        <v>0% complete</v>
      </c>
    </row>
    <row r="5" spans="1:4" ht="19.95" customHeight="1" x14ac:dyDescent="0.3">
      <c r="A5" s="13" t="s">
        <v>309</v>
      </c>
      <c r="B5" s="14">
        <v>21</v>
      </c>
      <c r="C5" s="14">
        <f>COUNTIF('Daily Tracker'!G:G,"Done")</f>
        <v>0</v>
      </c>
      <c r="D5" s="14" t="str">
        <f>IF(B5=0,"",TEXT(C5/B5,"0%")&amp;" complete")</f>
        <v>0% complete</v>
      </c>
    </row>
    <row r="6" spans="1:4" ht="22.05" customHeight="1" x14ac:dyDescent="0.3">
      <c r="A6" s="15" t="s">
        <v>310</v>
      </c>
      <c r="B6" s="16">
        <v>64</v>
      </c>
      <c r="C6" s="16">
        <f>COUNTIF('Daily Tracker'!G:G,"Done")</f>
        <v>0</v>
      </c>
      <c r="D6" s="16" t="str">
        <f>TEXT(C6/B6,"0%")&amp;" of full roadmap complete"</f>
        <v>0% of full roadmap complete</v>
      </c>
    </row>
    <row r="8" spans="1:4" x14ac:dyDescent="0.3">
      <c r="A8" s="17" t="s">
        <v>311</v>
      </c>
    </row>
    <row r="9" spans="1:4" ht="18" customHeight="1" x14ac:dyDescent="0.3">
      <c r="A9" s="23" t="s">
        <v>312</v>
      </c>
      <c r="B9" s="19"/>
      <c r="C9" s="19"/>
      <c r="D9" s="19"/>
    </row>
    <row r="10" spans="1:4" ht="18" customHeight="1" x14ac:dyDescent="0.3">
      <c r="A10" s="23" t="s">
        <v>313</v>
      </c>
      <c r="B10" s="19"/>
      <c r="C10" s="19"/>
      <c r="D10" s="19"/>
    </row>
    <row r="11" spans="1:4" ht="18" customHeight="1" x14ac:dyDescent="0.3">
      <c r="A11" s="23" t="s">
        <v>314</v>
      </c>
      <c r="B11" s="19"/>
      <c r="C11" s="19"/>
      <c r="D11" s="19"/>
    </row>
    <row r="12" spans="1:4" ht="18" customHeight="1" x14ac:dyDescent="0.3">
      <c r="A12" s="23" t="s">
        <v>315</v>
      </c>
      <c r="B12" s="19"/>
      <c r="C12" s="19"/>
      <c r="D12" s="19"/>
    </row>
    <row r="13" spans="1:4" ht="18" customHeight="1" x14ac:dyDescent="0.3">
      <c r="A13" s="23" t="s">
        <v>316</v>
      </c>
      <c r="B13" s="19"/>
      <c r="C13" s="19"/>
      <c r="D13" s="19"/>
    </row>
  </sheetData>
  <mergeCells count="6">
    <mergeCell ref="A13:D13"/>
    <mergeCell ref="A1:D1"/>
    <mergeCell ref="A9:D9"/>
    <mergeCell ref="A12:D12"/>
    <mergeCell ref="A11:D11"/>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Tracker</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 Mena Capital</cp:lastModifiedBy>
  <dcterms:created xsi:type="dcterms:W3CDTF">2026-06-21T21:55:54Z</dcterms:created>
  <dcterms:modified xsi:type="dcterms:W3CDTF">2026-06-21T22:05:09Z</dcterms:modified>
</cp:coreProperties>
</file>